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medu-my.sharepoint.com/personal/antoniobriza_phdinds2024_aim_edu/Documents/0 DISS/code/dpn-tony/documentation/"/>
    </mc:Choice>
  </mc:AlternateContent>
  <xr:revisionPtr revIDLastSave="63" documentId="8_{0894D622-B50E-41FD-8E53-4B0AC06200B1}" xr6:coauthVersionLast="47" xr6:coauthVersionMax="47" xr10:uidLastSave="{3CDC441F-25AB-4B84-BFB7-B2E8EC4868F1}"/>
  <bookViews>
    <workbookView xWindow="28680" yWindow="-150" windowWidth="29040" windowHeight="15720" activeTab="1" xr2:uid="{AABE7220-58DB-48EA-9549-A93869864540}"/>
  </bookViews>
  <sheets>
    <sheet name="benchmarking" sheetId="4" r:id="rId1"/>
    <sheet name="hyperparameter optimization" sheetId="1" r:id="rId2"/>
    <sheet name="final models 2" sheetId="3" r:id="rId3"/>
    <sheet name="final model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D6" i="3" s="1"/>
  <c r="G6" i="1"/>
  <c r="D6" i="1" s="1"/>
  <c r="G8" i="1" s="1"/>
  <c r="G8" i="3" l="1"/>
  <c r="F10" i="1"/>
  <c r="D10" i="1" s="1"/>
</calcChain>
</file>

<file path=xl/sharedStrings.xml><?xml version="1.0" encoding="utf-8"?>
<sst xmlns="http://schemas.openxmlformats.org/spreadsheetml/2006/main" count="47" uniqueCount="28">
  <si>
    <t>HYPERPARAMETER OPTIMIZATION</t>
  </si>
  <si>
    <t>outer_train</t>
  </si>
  <si>
    <t>outer_test</t>
  </si>
  <si>
    <t>outer_cv</t>
  </si>
  <si>
    <t>inner_cv</t>
  </si>
  <si>
    <t xml:space="preserve">test size </t>
  </si>
  <si>
    <t>n</t>
  </si>
  <si>
    <t>k_splits_inner</t>
  </si>
  <si>
    <t>k_splits_outer</t>
  </si>
  <si>
    <t>n_repeats_outer</t>
  </si>
  <si>
    <t>inner_train</t>
  </si>
  <si>
    <t>inner_test</t>
  </si>
  <si>
    <t>threshold</t>
  </si>
  <si>
    <t>hpo-&gt;best params</t>
  </si>
  <si>
    <t>metrics</t>
  </si>
  <si>
    <t>results in 4x10 runs</t>
  </si>
  <si>
    <t>Purpose</t>
  </si>
  <si>
    <t>Get an idea of the performance of this model</t>
  </si>
  <si>
    <t>Get an idea of the threshold to use</t>
  </si>
  <si>
    <t>Get thrshold mean from optimization stage</t>
  </si>
  <si>
    <t>Run 3 splits</t>
  </si>
  <si>
    <t>multi cv bayesian optimization</t>
  </si>
  <si>
    <t>FINAL MODEL TRAINING</t>
  </si>
  <si>
    <t>best_model, best_params</t>
  </si>
  <si>
    <t>Model Output</t>
  </si>
  <si>
    <t>Testing</t>
  </si>
  <si>
    <t>Report metrics</t>
  </si>
  <si>
    <t>Get best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</si>
</sst>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569CD6"/>
      <name val="Consolas"/>
      <family val="3"/>
    </font>
    <font>
      <sz val="8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applyBorder="1"/>
    <xf numFmtId="0" fontId="2" fillId="0" borderId="6" xfId="0" applyFont="1" applyBorder="1" applyAlignment="1">
      <alignment horizontal="left"/>
    </xf>
    <xf numFmtId="0" fontId="0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E3A4-EE0D-4B77-ACFC-0A6A4B7B2D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83A0-7FB7-4F15-90DB-720FA91C8FDE}">
  <dimension ref="B1:V23"/>
  <sheetViews>
    <sheetView tabSelected="1" zoomScale="220" zoomScaleNormal="220" workbookViewId="0">
      <selection activeCell="D22" sqref="D22"/>
    </sheetView>
  </sheetViews>
  <sheetFormatPr defaultRowHeight="15" x14ac:dyDescent="0.25"/>
  <cols>
    <col min="1" max="1" width="1" customWidth="1"/>
    <col min="2" max="2" width="14" customWidth="1"/>
    <col min="3" max="3" width="5.140625" customWidth="1"/>
    <col min="4" max="7" width="6.28515625" customWidth="1"/>
    <col min="8" max="24" width="5.140625" customWidth="1"/>
  </cols>
  <sheetData>
    <row r="1" spans="2:22" x14ac:dyDescent="0.25">
      <c r="B1" t="s">
        <v>0</v>
      </c>
    </row>
    <row r="2" spans="2:22" x14ac:dyDescent="0.25">
      <c r="B2" s="10" t="s">
        <v>6</v>
      </c>
      <c r="C2">
        <v>190</v>
      </c>
      <c r="D2" s="9"/>
    </row>
    <row r="3" spans="2:22" x14ac:dyDescent="0.25">
      <c r="D3" s="9"/>
    </row>
    <row r="4" spans="2:22" x14ac:dyDescent="0.25">
      <c r="B4" s="10" t="s">
        <v>8</v>
      </c>
      <c r="C4">
        <v>4</v>
      </c>
    </row>
    <row r="5" spans="2:22" x14ac:dyDescent="0.25">
      <c r="D5" s="11" t="s">
        <v>1</v>
      </c>
      <c r="E5" s="11"/>
      <c r="F5" s="11"/>
      <c r="G5" s="12" t="s">
        <v>2</v>
      </c>
    </row>
    <row r="6" spans="2:22" x14ac:dyDescent="0.25">
      <c r="B6" s="8" t="s">
        <v>3</v>
      </c>
      <c r="D6" s="3">
        <f>C2-G6</f>
        <v>142</v>
      </c>
      <c r="E6" s="4"/>
      <c r="F6" s="5"/>
      <c r="G6" s="6">
        <f>ROUND(C2/C4,0)</f>
        <v>48</v>
      </c>
      <c r="I6" s="6"/>
      <c r="J6" s="1"/>
      <c r="K6" s="1"/>
      <c r="L6" s="1"/>
      <c r="N6" s="1"/>
      <c r="O6" s="6"/>
      <c r="P6" s="1"/>
      <c r="Q6" s="1"/>
      <c r="S6" s="1"/>
      <c r="T6" s="6"/>
      <c r="U6" s="1"/>
      <c r="V6" s="1"/>
    </row>
    <row r="8" spans="2:22" x14ac:dyDescent="0.25">
      <c r="B8" s="10" t="s">
        <v>7</v>
      </c>
      <c r="C8">
        <v>3</v>
      </c>
      <c r="E8" t="s">
        <v>5</v>
      </c>
      <c r="G8">
        <f>D6/C8</f>
        <v>47.333333333333336</v>
      </c>
    </row>
    <row r="9" spans="2:22" x14ac:dyDescent="0.25">
      <c r="B9" s="8" t="s">
        <v>4</v>
      </c>
      <c r="D9" s="11" t="s">
        <v>10</v>
      </c>
      <c r="E9" s="11"/>
      <c r="F9" s="12" t="s">
        <v>11</v>
      </c>
      <c r="G9" s="7"/>
    </row>
    <row r="10" spans="2:22" x14ac:dyDescent="0.25">
      <c r="D10" s="3">
        <f>D6-F10</f>
        <v>95</v>
      </c>
      <c r="E10" s="5"/>
      <c r="F10" s="15">
        <f>ROUND(D6/C8,0)</f>
        <v>47</v>
      </c>
      <c r="G10" s="6">
        <v>48</v>
      </c>
    </row>
    <row r="11" spans="2:22" x14ac:dyDescent="0.25">
      <c r="D11" s="13" t="s">
        <v>13</v>
      </c>
      <c r="F11" s="14" t="s">
        <v>12</v>
      </c>
      <c r="G11" s="14" t="s">
        <v>14</v>
      </c>
    </row>
    <row r="13" spans="2:22" x14ac:dyDescent="0.25">
      <c r="D13" s="15"/>
      <c r="E13" s="1"/>
      <c r="F13" s="1"/>
      <c r="G13" s="6">
        <v>48</v>
      </c>
    </row>
    <row r="14" spans="2:22" x14ac:dyDescent="0.25">
      <c r="D14" s="14" t="s">
        <v>12</v>
      </c>
      <c r="E14" s="17" t="s">
        <v>13</v>
      </c>
      <c r="F14" s="16"/>
      <c r="G14" s="14" t="s">
        <v>14</v>
      </c>
    </row>
    <row r="15" spans="2:22" x14ac:dyDescent="0.25">
      <c r="D15" s="8"/>
    </row>
    <row r="16" spans="2:22" x14ac:dyDescent="0.25">
      <c r="D16" s="1"/>
      <c r="E16" s="15"/>
      <c r="F16" s="1"/>
      <c r="G16" s="6">
        <v>48</v>
      </c>
    </row>
    <row r="17" spans="2:7" x14ac:dyDescent="0.25">
      <c r="E17" s="14" t="s">
        <v>12</v>
      </c>
      <c r="G17" s="14" t="s">
        <v>14</v>
      </c>
    </row>
    <row r="19" spans="2:7" x14ac:dyDescent="0.25">
      <c r="B19" s="10" t="s">
        <v>9</v>
      </c>
      <c r="C19">
        <v>10</v>
      </c>
    </row>
    <row r="20" spans="2:7" x14ac:dyDescent="0.25">
      <c r="D20" t="s">
        <v>15</v>
      </c>
    </row>
    <row r="21" spans="2:7" x14ac:dyDescent="0.25">
      <c r="C21" t="s">
        <v>16</v>
      </c>
    </row>
    <row r="22" spans="2:7" x14ac:dyDescent="0.25">
      <c r="D22" s="18" t="s">
        <v>17</v>
      </c>
    </row>
    <row r="23" spans="2:7" x14ac:dyDescent="0.25">
      <c r="D23" t="s">
        <v>18</v>
      </c>
    </row>
  </sheetData>
  <mergeCells count="4">
    <mergeCell ref="D6:F6"/>
    <mergeCell ref="D5:F5"/>
    <mergeCell ref="D10:E10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34DF-DB5B-408F-80F9-C071FEDA5720}">
  <dimension ref="B1:O23"/>
  <sheetViews>
    <sheetView topLeftCell="A16" zoomScale="220" zoomScaleNormal="220" workbookViewId="0">
      <selection activeCell="D21" sqref="D21"/>
    </sheetView>
  </sheetViews>
  <sheetFormatPr defaultRowHeight="15" x14ac:dyDescent="0.25"/>
  <cols>
    <col min="1" max="1" width="1" customWidth="1"/>
    <col min="2" max="2" width="14" customWidth="1"/>
    <col min="3" max="3" width="5.140625" customWidth="1"/>
    <col min="4" max="7" width="6.28515625" customWidth="1"/>
    <col min="8" max="17" width="5.140625" customWidth="1"/>
  </cols>
  <sheetData>
    <row r="1" spans="2:15" x14ac:dyDescent="0.25">
      <c r="B1" t="s">
        <v>22</v>
      </c>
    </row>
    <row r="2" spans="2:15" x14ac:dyDescent="0.25">
      <c r="B2" s="10" t="s">
        <v>6</v>
      </c>
      <c r="C2">
        <v>190</v>
      </c>
      <c r="D2" s="9"/>
    </row>
    <row r="3" spans="2:15" x14ac:dyDescent="0.25">
      <c r="D3" s="9"/>
    </row>
    <row r="4" spans="2:15" x14ac:dyDescent="0.25">
      <c r="B4" s="10" t="s">
        <v>8</v>
      </c>
      <c r="C4">
        <v>3</v>
      </c>
    </row>
    <row r="5" spans="2:15" x14ac:dyDescent="0.25">
      <c r="D5" s="11" t="s">
        <v>1</v>
      </c>
      <c r="E5" s="11"/>
      <c r="F5" s="11"/>
      <c r="G5" s="12" t="s">
        <v>2</v>
      </c>
    </row>
    <row r="6" spans="2:15" x14ac:dyDescent="0.25">
      <c r="B6" s="8" t="s">
        <v>3</v>
      </c>
      <c r="D6" s="3">
        <f>C2-G6</f>
        <v>127</v>
      </c>
      <c r="E6" s="4"/>
      <c r="F6" s="5"/>
      <c r="G6" s="6">
        <f>ROUND(C2/C4,0)</f>
        <v>63</v>
      </c>
      <c r="I6" s="6"/>
      <c r="J6" s="1"/>
      <c r="K6" s="1"/>
      <c r="M6" s="1"/>
      <c r="N6" s="6"/>
      <c r="O6" s="1"/>
    </row>
    <row r="8" spans="2:15" x14ac:dyDescent="0.25">
      <c r="B8" s="10" t="s">
        <v>7</v>
      </c>
      <c r="C8">
        <v>3</v>
      </c>
      <c r="E8" t="s">
        <v>5</v>
      </c>
      <c r="G8">
        <f>D6/C8</f>
        <v>42.333333333333336</v>
      </c>
    </row>
    <row r="9" spans="2:15" x14ac:dyDescent="0.25">
      <c r="B9" s="8" t="s">
        <v>4</v>
      </c>
      <c r="D9" s="11" t="s">
        <v>10</v>
      </c>
      <c r="E9" s="11"/>
      <c r="F9" s="12" t="s">
        <v>11</v>
      </c>
      <c r="G9" s="7"/>
    </row>
    <row r="10" spans="2:15" x14ac:dyDescent="0.25">
      <c r="D10" s="2"/>
      <c r="E10" s="2"/>
      <c r="F10" s="15"/>
      <c r="G10" s="6">
        <v>63</v>
      </c>
    </row>
    <row r="11" spans="2:15" x14ac:dyDescent="0.25">
      <c r="D11" s="19" t="s">
        <v>21</v>
      </c>
      <c r="E11" s="19"/>
      <c r="F11" s="20"/>
      <c r="G11" s="14" t="s">
        <v>14</v>
      </c>
    </row>
    <row r="13" spans="2:15" x14ac:dyDescent="0.25">
      <c r="D13" s="15"/>
      <c r="E13" s="1"/>
      <c r="F13" s="1"/>
      <c r="G13" s="6">
        <v>63</v>
      </c>
    </row>
    <row r="14" spans="2:15" x14ac:dyDescent="0.25">
      <c r="D14" s="19" t="s">
        <v>21</v>
      </c>
      <c r="E14" s="19"/>
      <c r="F14" s="20"/>
      <c r="G14" s="14" t="s">
        <v>14</v>
      </c>
    </row>
    <row r="15" spans="2:15" x14ac:dyDescent="0.25">
      <c r="D15" s="8"/>
    </row>
    <row r="16" spans="2:15" x14ac:dyDescent="0.25">
      <c r="D16" s="1"/>
      <c r="E16" s="15"/>
      <c r="F16" s="1"/>
      <c r="G16" s="6">
        <v>63</v>
      </c>
    </row>
    <row r="17" spans="2:7" x14ac:dyDescent="0.25">
      <c r="E17" s="14"/>
      <c r="G17" s="14" t="s">
        <v>14</v>
      </c>
    </row>
    <row r="19" spans="2:7" x14ac:dyDescent="0.25">
      <c r="B19" t="s">
        <v>24</v>
      </c>
      <c r="D19" t="s">
        <v>23</v>
      </c>
    </row>
    <row r="21" spans="2:7" x14ac:dyDescent="0.25">
      <c r="B21" t="s">
        <v>25</v>
      </c>
      <c r="D21" t="s">
        <v>27</v>
      </c>
    </row>
    <row r="22" spans="2:7" x14ac:dyDescent="0.25">
      <c r="D22" s="18"/>
    </row>
    <row r="23" spans="2:7" x14ac:dyDescent="0.25">
      <c r="D23" t="s">
        <v>26</v>
      </c>
    </row>
  </sheetData>
  <mergeCells count="5">
    <mergeCell ref="D14:F14"/>
    <mergeCell ref="D5:F5"/>
    <mergeCell ref="D6:F6"/>
    <mergeCell ref="D9:E9"/>
    <mergeCell ref="D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A252-B4AB-425F-8DA5-C386A713189D}">
  <dimension ref="A1:A2"/>
  <sheetViews>
    <sheetView zoomScale="145" zoomScaleNormal="145" workbookViewId="0">
      <selection activeCell="A3" sqref="A3"/>
    </sheetView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benchmarking</vt:lpstr>
      <vt:lpstr>hyperparameter optimization</vt:lpstr>
      <vt:lpstr>final models 2</vt:lpstr>
      <vt:lpstr>final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C. Briza</dc:creator>
  <cp:lastModifiedBy>Antonio C. Briza</cp:lastModifiedBy>
  <dcterms:created xsi:type="dcterms:W3CDTF">2026-04-12T04:12:20Z</dcterms:created>
  <dcterms:modified xsi:type="dcterms:W3CDTF">2026-04-12T15:03:31Z</dcterms:modified>
</cp:coreProperties>
</file>